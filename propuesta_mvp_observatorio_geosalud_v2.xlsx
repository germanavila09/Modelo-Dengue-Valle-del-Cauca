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ejecutivo" sheetId="1" state="visible" r:id="rId3"/>
    <sheet name="Alcance MVP" sheetId="2" state="visible" r:id="rId4"/>
    <sheet name="Cronograma 8 meses" sheetId="3" state="visible" r:id="rId5"/>
    <sheet name="Equipo y costos" sheetId="4" state="visible" r:id="rId6"/>
    <sheet name="Escenarios oferta" sheetId="5" state="visible" r:id="rId7"/>
    <sheet name="Supuesto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<sst xmlns="http://schemas.openxmlformats.org/spreadsheetml/2006/main" count="222" uniqueCount="209">
  <si>
    <t xml:space="preserve">MVP Observatorio GeoSalud — 4 eventos — Implementación 8 meses</t>
  </si>
  <si>
    <t xml:space="preserve">Propuesta actualizada para la Secretaría de Salud Departamental del Valle del Cauca: sistema geoespacial de vigilancia epidemiológica con 5 perfiles, modelos IA/ML validados y gestión GitHub institucional.</t>
  </si>
  <si>
    <t xml:space="preserve">Escenario</t>
  </si>
  <si>
    <t xml:space="preserve">Duración</t>
  </si>
  <si>
    <t xml:space="preserve">Eventos</t>
  </si>
  <si>
    <t xml:space="preserve">Alcance</t>
  </si>
  <si>
    <t xml:space="preserve">Valor estimado COP</t>
  </si>
  <si>
    <t xml:space="preserve">Uso recomendado</t>
  </si>
  <si>
    <t xml:space="preserve">Mínimo ofertable</t>
  </si>
  <si>
    <t xml:space="preserve">8 meses</t>
  </si>
  <si>
    <t xml:space="preserve">3 eventos</t>
  </si>
  <si>
    <t xml:space="preserve">Observatorio funcional con dashboard, geovisor, coropléticos, AEDE básico, hexágonos H3, pipeline ETL semi-automatizado, modelos NeuralProphet validados, GitHub Pages y capacitación inicial.</t>
  </si>
  <si>
    <t xml:space="preserve">Entrada viable para contratación pública acotada con base técnica sólida.</t>
  </si>
  <si>
    <t xml:space="preserve">Recomendado</t>
  </si>
  <si>
    <t xml:space="preserve">4 eventos</t>
  </si>
  <si>
    <t xml:space="preserve">Alcance institucional completo: LISA/Moran avanzado, modelos IA/ML con covariables climáticas, módulo de alertas tempranas, CI/CD con GitHub Actions, documentación técnica y funcional completa, capacitación diferenciada y soporte de estabilización.</t>
  </si>
  <si>
    <t xml:space="preserve">Opción más equilibrada entre calidad, riesgo y sostenibilidad institucional.</t>
  </si>
  <si>
    <t xml:space="preserve">Robusto</t>
  </si>
  <si>
    <t xml:space="preserve">4 eventos + IA avanzada</t>
  </si>
  <si>
    <t xml:space="preserve">Incluye modelos de ensamble (NeuralProphet + XGBoost + Prophet), interoperabilidad SIVIGILA inicial, seguridad avanzada, mayor QA, versionamiento DVC/MLflow, acompañamiento funcional ampliado y repositorio GitHub con estándares de código abierto.</t>
  </si>
  <si>
    <t xml:space="preserve">Para entidad con presión operativa, exigencia institucional alta y visión de escalar a nivel nacional.</t>
  </si>
  <si>
    <t xml:space="preserve">Recomendación de oferta mínima</t>
  </si>
  <si>
    <t xml:space="preserve">No ofertar por debajo de $280M COP si se incluyen 4 eventos, 5 perfiles, modelos IA/ML validados y 8 meses. Un valor objetivo defendible es $350M–$390M COP, dejando margen para ajustes, validaciones con usuarios y estabilización.</t>
  </si>
  <si>
    <t xml:space="preserve">Indicadores clave del MVP</t>
  </si>
  <si>
    <t xml:space="preserve">Indicador</t>
  </si>
  <si>
    <t xml:space="preserve">Meta MVP</t>
  </si>
  <si>
    <t xml:space="preserve">Eventos incluidos</t>
  </si>
  <si>
    <t xml:space="preserve">4 eventos priorizados: dengue, zika, chikungunya + ETV adicional</t>
  </si>
  <si>
    <t xml:space="preserve">Cobertura territorial</t>
  </si>
  <si>
    <t xml:space="preserve">42 municipios del Valle del Cauca con análisis hexagonal submunicipal (H3)</t>
  </si>
  <si>
    <t xml:space="preserve">Actualización de datos</t>
  </si>
  <si>
    <t xml:space="preserve">Pipeline ETL semi-automatizado — frecuencia semanal o mensual según Secretaría</t>
  </si>
  <si>
    <t xml:space="preserve">Producto final</t>
  </si>
  <si>
    <t xml:space="preserve">Observatorio web (GitHub Pages) + PostGIS + modelos IA/ML + documentación + transferencia</t>
  </si>
  <si>
    <t xml:space="preserve">Nivel IA/ML</t>
  </si>
  <si>
    <t xml:space="preserve">Modelos reales validados: NeuralProphet, Prophet, XGBoost con backtesting y covariables climáticas</t>
  </si>
  <si>
    <t xml:space="preserve">Gestión del código</t>
  </si>
  <si>
    <t xml:space="preserve">Repositorio GitHub institucional con CI/CD (GitHub Actions), ramas, PR y releases versionados</t>
  </si>
  <si>
    <t xml:space="preserve">Análisis espacial</t>
  </si>
  <si>
    <t xml:space="preserve">AEDE completo: Moran global, LISA (HH/LL/HL/LH), mapas de clúster y coropléticos multivariantes</t>
  </si>
  <si>
    <t xml:space="preserve">Perfiles del equipo</t>
  </si>
  <si>
    <t xml:space="preserve">5 perfiles complementarios con roles y dedicación definidos para los 8 meses</t>
  </si>
  <si>
    <t xml:space="preserve">Alcance funcional por evento</t>
  </si>
  <si>
    <t xml:space="preserve">Producto para 4 eventos priorizados con análisis espacial avanzado, modelos IA/ML validados y código versionado en GitHub.</t>
  </si>
  <si>
    <t xml:space="preserve">Evento</t>
  </si>
  <si>
    <t xml:space="preserve">Datos mínimos</t>
  </si>
  <si>
    <t xml:space="preserve">Indicadores</t>
  </si>
  <si>
    <t xml:space="preserve">Visualizaciones</t>
  </si>
  <si>
    <t xml:space="preserve">Análisis espacial + IA/ML</t>
  </si>
  <si>
    <t xml:space="preserve">Salida esperada</t>
  </si>
  <si>
    <t xml:space="preserve">Dengue</t>
  </si>
  <si>
    <t xml:space="preserve">Casos por municipio/año/semana epidemiológica, población, geometrías municipales, hexágonos H3, coordenadas puntuales.</t>
  </si>
  <si>
    <t xml:space="preserve">Casos, incidencia x100k, tendencia, municipios críticos, semanas de riesgo.</t>
  </si>
  <si>
    <t xml:space="preserve">Dashboard, geovisor, coroplético, hexágonos H3, mapa de calor, clúster, ranking, ficha municipal.</t>
  </si>
  <si>
    <t xml:space="preserve">AEDE completo: Moran global, LISA (HH/LL/HL/LH). Modelos: NeuralProphet + Prophet + XGBoost. Pronóstico 4–8 semanas con covariables climáticas (IDEAM). Versionado en GitHub.</t>
  </si>
  <si>
    <t xml:space="preserve">Evento demostrador principal. Referencia metodológica para los demás eventos.</t>
  </si>
  <si>
    <t xml:space="preserve">Zika</t>
  </si>
  <si>
    <t xml:space="preserve">Casos históricos disponibles, población, municipio y semana epidemiológica.</t>
  </si>
  <si>
    <t xml:space="preserve">Casos, incidencia, tendencia anual/semanal, comparación con dengue.</t>
  </si>
  <si>
    <t xml:space="preserve">Dashboard simplificado, coroplético, ranking territorial, ficha municipal.</t>
  </si>
  <si>
    <t xml:space="preserve">Priorización territorial, LISA básico, comparación espacial multievento. Pronóstico NeuralProphet si datos suficientes (≥3 años semanales).</t>
  </si>
  <si>
    <t xml:space="preserve">Segundo evento vectorial integrado. Valida arquitectura multievento en GitHub.</t>
  </si>
  <si>
    <t xml:space="preserve">Chikungunya</t>
  </si>
  <si>
    <t xml:space="preserve">Casos históricos disponibles, población y municipio.</t>
  </si>
  <si>
    <t xml:space="preserve">Casos, incidencia, tendencia, alertas simples de persistencia.</t>
  </si>
  <si>
    <t xml:space="preserve">Dashboard simplificado, coroplético y ficha municipal.</t>
  </si>
  <si>
    <t xml:space="preserve">Identificación de municipios con persistencia o reemergencia. Comparación espacial con dengue y zika. Módulo de alertas tempranas configurado.</t>
  </si>
  <si>
    <t xml:space="preserve">Tercer evento vectorial. Valida módulo de alertas tempranas del observatorio.</t>
  </si>
  <si>
    <t xml:space="preserve">ETV adicional *</t>
  </si>
  <si>
    <t xml:space="preserve">Según disponibilidad y calidad de datos de la Secretaría (leishmaniasis, malaria u otro priorizado).</t>
  </si>
  <si>
    <t xml:space="preserve">Indicadores básicos: casos, incidencia, tendencia territorial.</t>
  </si>
  <si>
    <t xml:space="preserve">Coroplético, ranking y ficha municipal integrada al geovisor.</t>
  </si>
  <si>
    <t xml:space="preserve">Priorización territorial básica. Comparativo multievento. Ingresa al repositorio GitHub como módulo independiente.</t>
  </si>
  <si>
    <t xml:space="preserve">Cuarto evento para demostrar escalabilidad de la arquitectura.</t>
  </si>
  <si>
    <t xml:space="preserve">Componentes transversales del MVP</t>
  </si>
  <si>
    <t xml:space="preserve">GitHub institucional</t>
  </si>
  <si>
    <t xml:space="preserve">Repositorio GitHub de la Secretaría con gobierno de ramas (main/develop/feature), Pull Requests, GitHub Actions (CI/CD) y releases versionados por fase.</t>
  </si>
  <si>
    <t xml:space="preserve">Todo el código fuente, scripts ETL, análisis espacial, modelos ML y frontend.</t>
  </si>
  <si>
    <t xml:space="preserve">GitHub Actions: tests pytest, linting, despliegue automático a GitHub Pages.</t>
  </si>
  <si>
    <t xml:space="preserve">Licencia abierta MIT/Apache 2.0. Activo digital institucional transferible y auditable.</t>
  </si>
  <si>
    <t xml:space="preserve">Continuidad y transparencia del sistema post-proyecto.</t>
  </si>
  <si>
    <t xml:space="preserve">GitHub Pages</t>
  </si>
  <si>
    <t xml:space="preserve">Hosting gratuito del dashboard en dominio institucional con HTTPS automático.</t>
  </si>
  <si>
    <t xml:space="preserve">Disponibilidad del observatorio web sin costo de servidor para el frontend.</t>
  </si>
  <si>
    <t xml:space="preserve">Dashboard HTML/JS/Leaflet servido directamente desde rama main.</t>
  </si>
  <si>
    <t xml:space="preserve">Despliegue continuo: cada PR aprobado actualiza automáticamente el dashboard público.</t>
  </si>
  <si>
    <t xml:space="preserve">Reducción de costos de infraestructura. Disponibilidad ≥99.9% garantizada por GitHub.</t>
  </si>
  <si>
    <t xml:space="preserve">Alertas tempranas</t>
  </si>
  <si>
    <t xml:space="preserve">Umbrales epidemiológicos configurables por evento y municipio.</t>
  </si>
  <si>
    <t xml:space="preserve">Alerta cuando municipio supera percentil de riesgo definido con el epidemiólogo.</t>
  </si>
  <si>
    <t xml:space="preserve">Panel de alertas activas en el dashboard con historial y registro.</t>
  </si>
  <si>
    <t xml:space="preserve">Umbrales basados en análisis de percentiles históricos validados por el equipo de vigilancia.</t>
  </si>
  <si>
    <t xml:space="preserve">Detección temprana de brotes para activar respuesta oportuna.</t>
  </si>
  <si>
    <t xml:space="preserve">Fuera del MVP</t>
  </si>
  <si>
    <t xml:space="preserve">App móvil nativa. Mesa de ayuda permanente con SLA. Interoperabilidad completa SIVIGILA/SISPRO. Alta disponibilidad 24/7 con SLA empresarial. Autenticación OAuth2 avanzada.</t>
  </si>
  <si>
    <t xml:space="preserve">—</t>
  </si>
  <si>
    <t xml:space="preserve">Se contemplan en hoja de ruta post-proyecto (año 2–3).</t>
  </si>
  <si>
    <t xml:space="preserve">Plan de implementación a 8 meses — Observatorio GeoSalud Valle del Cauca</t>
  </si>
  <si>
    <t xml:space="preserve">Ruta para convertir el prototipo en un MVP institucional con modelos IA/ML validados, frontend en GitHub Pages y transferencia formal del repositorio GitHub.</t>
  </si>
  <si>
    <t xml:space="preserve">Fase / Actividad</t>
  </si>
  <si>
    <t xml:space="preserve">Mes 1</t>
  </si>
  <si>
    <t xml:space="preserve">Mes 2</t>
  </si>
  <si>
    <t xml:space="preserve">Mes 3</t>
  </si>
  <si>
    <t xml:space="preserve">Mes 4</t>
  </si>
  <si>
    <t xml:space="preserve">Mes 5</t>
  </si>
  <si>
    <t xml:space="preserve">Mes 6</t>
  </si>
  <si>
    <t xml:space="preserve">Mes 7</t>
  </si>
  <si>
    <t xml:space="preserve">Mes 8</t>
  </si>
  <si>
    <t xml:space="preserve">Entregable principal</t>
  </si>
  <si>
    <t xml:space="preserve">F1. Alistamiento y diseño técnico</t>
  </si>
  <si>
    <t xml:space="preserve">Plan técnico, arquitectura, repositorio GitHub configurado con CI, diagnóstico de datos</t>
  </si>
  <si>
    <t xml:space="preserve">  Levantamiento de requerimientos y auditoría de datos</t>
  </si>
  <si>
    <t xml:space="preserve">  Diseño arquitectura + modelo PostGIS multievento</t>
  </si>
  <si>
    <t xml:space="preserve">  Setup GitHub: ramas, Actions, plantillas PR, licencia</t>
  </si>
  <si>
    <t xml:space="preserve">F2. Base de datos y pipeline ETL</t>
  </si>
  <si>
    <t xml:space="preserve">BD PostGIS consolidada 4 eventos + capa H3 + pipeline ETL versionado en GitHub</t>
  </si>
  <si>
    <t xml:space="preserve">  Expansión esquema PostGIS (Zika, Chikungunya, ETV)</t>
  </si>
  <si>
    <t xml:space="preserve">  Pipeline ETL con validación de calidad + pytest</t>
  </si>
  <si>
    <t xml:space="preserve">  Integración capas hexagonales H3</t>
  </si>
  <si>
    <t xml:space="preserve">F3. Analítica espacial avanzada (AEDE / LISA)</t>
  </si>
  <si>
    <t xml:space="preserve">Módulos Moran global, LISA, coropléticos y geovisor H3 — release GitHub v1.0</t>
  </si>
  <si>
    <t xml:space="preserve">  Índice Moran global + LISA (HH/LL/HL/LH) con PySAL</t>
  </si>
  <si>
    <t xml:space="preserve">  Geovisor hexagonal H3 con filtros evento/año/semana</t>
  </si>
  <si>
    <t xml:space="preserve">  Fichas municipales automatizadas</t>
  </si>
  <si>
    <t xml:space="preserve">F4. Frontend institucional + alertas tempranas</t>
  </si>
  <si>
    <t xml:space="preserve">Observatorio web rediseñado publicado en GitHub Pages + módulo de alertas activo</t>
  </si>
  <si>
    <t xml:space="preserve">  Rediseño UX/UI con perfiles de usuario</t>
  </si>
  <si>
    <t xml:space="preserve">  Integración geovisor unificado (coropléticos+LISA+H3)</t>
  </si>
  <si>
    <t xml:space="preserve">  Módulo alertas + panel activo + GitHub Pages CI/CD</t>
  </si>
  <si>
    <t xml:space="preserve">F5. Modelos IA/ML y tablero de pronósticos</t>
  </si>
  <si>
    <t xml:space="preserve">Modelos validados 42 municipios + tablero pronósticos 4-8 semanas — release GitHub v2.0</t>
  </si>
  <si>
    <t xml:space="preserve">  Validación cruzada walk-forward NeuralProphet existente</t>
  </si>
  <si>
    <t xml:space="preserve">  Covariables climáticas (IDEAM/ERA5) + NBI</t>
  </si>
  <si>
    <t xml:space="preserve">  Evaluación Prophet / XGBoost / LightGBM por municipio</t>
  </si>
  <si>
    <t xml:space="preserve">  Tablero pronósticos integrado al dashboard</t>
  </si>
  <si>
    <t xml:space="preserve">F6. Documentación, capacitación y transferencia</t>
  </si>
  <si>
    <t xml:space="preserve">Manuales técnico + funcional + GitHub Guide + 3 talleres + acta de entrega repositorio</t>
  </si>
  <si>
    <t xml:space="preserve">  Manual técnico: arquitectura, GitHub, ETL, modelos</t>
  </si>
  <si>
    <t xml:space="preserve">  Manual funcional por perfil de usuario</t>
  </si>
  <si>
    <t xml:space="preserve">  Talleres de capacitación (3 sesiones diferenciadas)</t>
  </si>
  <si>
    <t xml:space="preserve">  Transferencia repositorio GitHub + UAT + acta cierre</t>
  </si>
  <si>
    <t xml:space="preserve">Equipo y costos estimados — 5 perfiles — 8 meses</t>
  </si>
  <si>
    <t xml:space="preserve">Valores de referencia en pesos colombianos. La "Tarifa mensual efectiva" ya refleja el porcentaje de dedicación. Celdas azules = entradas ajustables. Celdas negras = fórmulas calculadas.</t>
  </si>
  <si>
    <t xml:space="preserve">Perfil</t>
  </si>
  <si>
    <t xml:space="preserve">Dedicación</t>
  </si>
  <si>
    <t xml:space="preserve">Meses</t>
  </si>
  <si>
    <t xml:space="preserve">Tarifa mensual efectiva COP</t>
  </si>
  <si>
    <t xml:space="preserve">Subtotal COP</t>
  </si>
  <si>
    <t xml:space="preserve">Funciones principales</t>
  </si>
  <si>
    <t xml:space="preserve">Líder Técnico del Proyecto / Científico de Datos ML</t>
  </si>
  <si>
    <t xml:space="preserve">Coordinación técnica, arquitectura del sistema, gobierno del repositorio GitHub (ramas, PR, Actions, releases). Desarrollo y validación de modelos IA/ML: NeuralProphet, Prophet, XGBoost, validación cruzada walk-forward, covariables climáticas y protocolo de reentrenamiento.</t>
  </si>
  <si>
    <t xml:space="preserve">Ingeniero de Datos / Backend</t>
  </si>
  <si>
    <t xml:space="preserve">Diseño y desarrollo del pipeline ETL con validación automática de calidad. Expansión del esquema PostgreSQL/PostGIS para múltiples eventos y capas H3. Optimización de consultas espaciales. Contenedores Docker y política de respaldos. Todo el código versionado en GitHub con pruebas pytest.</t>
  </si>
  <si>
    <t xml:space="preserve">Desarrollador Frontend / Fullstack</t>
  </si>
  <si>
    <t xml:space="preserve">Rediseño y desarrollo del dashboard institucional con Leaflet.js. Geovisor unificado (coropléticos, LISA, H3, calor, clúster). Módulo de alertas tempranas. Publicación via GitHub Pages con CI/CD. Tablero de pronósticos IA/ML integrado. Control de acceso por perfiles.</t>
  </si>
  <si>
    <t xml:space="preserve">Geógrafo Técnico SIG / Analista Espacial</t>
  </si>
  <si>
    <t xml:space="preserve">Procesamiento y enriquecimiento de capas geoespaciales. Implementación AEDE con PySAL: Moran global, LISA, variograma. Mapas de clúster (HH/LL/HL/LH) por evento. Geovisor hexagonal H3. Fichas municipales automatizadas. Scripts publicados en GitHub.</t>
  </si>
  <si>
    <t xml:space="preserve">Epidemiólogo / Especialista en Salud Pública</t>
  </si>
  <si>
    <t xml:space="preserve">Definición y validación de indicadores epidemiológicos por evento. Validación de coherencia de datos y calidad epidemiológica. Definición de umbrales de alertas tempranas. Interpretación territorial de resultados AEDE y ML. Articulación con SIVIGILA. Capacitación al equipo de vigilancia.</t>
  </si>
  <si>
    <t xml:space="preserve">Resumen de costos</t>
  </si>
  <si>
    <t xml:space="preserve">Subtotal talento (5 perfiles)</t>
  </si>
  <si>
    <t xml:space="preserve">Infraestructura y despliegue</t>
  </si>
  <si>
    <t xml:space="preserve">Servidor BD Docker + dominio. GitHub Pages es gratuito (sin costo de hosting frontend).</t>
  </si>
  <si>
    <t xml:space="preserve">* La infraestructura cubre exclusivamente el servidor PostgreSQL/PostGIS en Docker. El frontend se publica sin costo en GitHub Pages con HTTPS automático.</t>
  </si>
  <si>
    <t xml:space="preserve">Talleres, validación y ajustes institucionales</t>
  </si>
  <si>
    <t xml:space="preserve">Sesiones con vigilancia epidemiológica, planeación y TIC.</t>
  </si>
  <si>
    <t xml:space="preserve">Contingencia (10%)</t>
  </si>
  <si>
    <t xml:space="preserve">10% sobre talento + infraestructura + talleres.</t>
  </si>
  <si>
    <t xml:space="preserve">TOTAL MÍNIMO RECOMENDADO</t>
  </si>
  <si>
    <t xml:space="preserve">Valor piso para 4 eventos, 5 perfiles, IA/ML validado y 8 meses.</t>
  </si>
  <si>
    <t xml:space="preserve">Escenarios de oferta — Observatorio GeoSalud 8 meses</t>
  </si>
  <si>
    <t xml:space="preserve">Tres alternativas para negociación con la Secretaría de Salud, ajustadas a 8 meses, 5 perfiles y componentes GitHub + IA/ML.</t>
  </si>
  <si>
    <t xml:space="preserve">Valor COP</t>
  </si>
  <si>
    <t xml:space="preserve">Incluye</t>
  </si>
  <si>
    <t xml:space="preserve">Riesgo</t>
  </si>
  <si>
    <t xml:space="preserve">Recomendación</t>
  </si>
  <si>
    <t xml:space="preserve">4 eventos, observatorio funcional, BD PostGIS, geovisor, coropléticos, AEDE básico, modelos NeuralProphet validados (backtesting), GitHub Pages + Actions básico, capacitación inicial y documentación esencial.</t>
  </si>
  <si>
    <t xml:space="preserve">Alto: poca holgura para cambios; IA/ML solo con NeuralProphet; LISA simplificado.</t>
  </si>
  <si>
    <t xml:space="preserve">Usar solo si la entidad tiene datos organizados, alcance cerrado y presupuesto muy ajustado.</t>
  </si>
  <si>
    <t xml:space="preserve">Alcance completo: LISA/Moran avanzado, 3 modelos ML comparados (NeuralProphet + Prophet + XGBoost), covariables climáticas IDEAM, módulo alertas tempranas, CI/CD GitHub Actions completo, documentación técnica + funcional, 3 talleres diferenciados y soporte de estabilización.</t>
  </si>
  <si>
    <t xml:space="preserve">Medio: permite ajustes razonables, cambios de alcance menores y soporte inicial post-entrega.</t>
  </si>
  <si>
    <t xml:space="preserve">Mejor opción para presentar formalmente. Equilibrio calidad–riesgo–sostenibilidad.</t>
  </si>
  <si>
    <t xml:space="preserve">Incluye modelos de ensamble avanzados (NeuralProphet + XGBoost + LightGBM), versionamiento DVC/MLflow, interoperabilidad SIVIGILA inicial, seguridad avanzada, mayor QA, repositorio GitHub con estándares open source, mayor número de talleres y 2 meses adicionales de soporte post-entrega.</t>
  </si>
  <si>
    <t xml:space="preserve">Bajo: mayor margen técnico, funcional y de soporte para ajustes institucionales.</t>
  </si>
  <si>
    <t xml:space="preserve">Para convocatoria con exigencia institucional alta y visión de escalar regionalmente.</t>
  </si>
  <si>
    <t xml:space="preserve">NOTA: Los valores NO incluyen IVA ni costos de legalización contractual. El frontend se publica en GitHub Pages (gratuito). La infraestructura cubre solo el servidor PostgreSQL/PostGIS. Soporte recurrente mensual post-proyecto se cotiza por separado.</t>
  </si>
  <si>
    <t xml:space="preserve">Supuestos y condiciones del proyecto</t>
  </si>
  <si>
    <t xml:space="preserve">Puntos que deben quedar claros antes de presentar o contratar el MVP de 8 meses.</t>
  </si>
  <si>
    <t xml:space="preserve">Tema</t>
  </si>
  <si>
    <t xml:space="preserve">Supuesto / Condición</t>
  </si>
  <si>
    <t xml:space="preserve">Datos</t>
  </si>
  <si>
    <t xml:space="preserve">La Secretaría entrega bases históricas de eventos, población y geometrías municipales con calidad mínima para georreferenciación. Se requieren al menos 3 años de datos semanales por evento para entrenar y validar los modelos IA/ML.</t>
  </si>
  <si>
    <t xml:space="preserve">El MVP usa dengue como evento demostrador principal y replica la arquitectura para zika, chikungunya y un cuarto evento priorizado. Los eventos se activan en el orden definido en el cronograma.</t>
  </si>
  <si>
    <t xml:space="preserve">GitHub</t>
  </si>
  <si>
    <t xml:space="preserve">La Secretaría de Salud o TIC de la Gobernación crea la organización GitHub institucional en el Mes 1. El equipo del proyecto recibe permisos de administrador del repositorio. Al cierre, el repositorio se transfiere formalmente con licencia MIT/Apache 2.0 como activo digital público.</t>
  </si>
  <si>
    <t xml:space="preserve">Infraestructura</t>
  </si>
  <si>
    <t xml:space="preserve">Stack 100% abierto: PostgreSQL/PostGIS, Python, HTML/JS, Leaflet, Docker, GitHub. Sin licencias propietarias. El frontend se publica en GitHub Pages (gratuito). La Secretaría provee servidor para la base de datos o acepta una instancia cloud de bajo costo (~$50 USD/mes).</t>
  </si>
  <si>
    <t xml:space="preserve">IA/ML</t>
  </si>
  <si>
    <t xml:space="preserve">Los modelos se desarrollan y validan con datos reales de la Secretaría usando validación cruzada temporal walk-forward. Covariables climáticas se obtienen de IDEAM o ERA5 (Copernicus, gratuito). Cada experimento queda registrado en GitHub como branch con resultados reproducibles. El protocolo de reentrenamiento semestral se documenta y transfiere al equipo técnico de la entidad.</t>
  </si>
  <si>
    <t xml:space="preserve">Actualización</t>
  </si>
  <si>
    <t xml:space="preserve">La carga de datos puede ser semiautomatizada al inicio; el pipeline ETL se configura para carga manual-asistida. La automatización completa (conexión directa SIVIGILA) requiere acuerdo adicional con TIC.</t>
  </si>
  <si>
    <t xml:space="preserve">Capacitación</t>
  </si>
  <si>
    <t xml:space="preserve">La Secretaría garantiza la participación de mínimo 10 funcionarios en los talleres de capacitación. Se realizan 3 sesiones diferenciadas: técnica (GitHub + datos), funcional (dashboard + alertas) y directiva.</t>
  </si>
  <si>
    <t xml:space="preserve">Soporte</t>
  </si>
  <si>
    <t xml:space="preserve">El proyecto incluye estabilización durante la Fase 6 (mes 8). El soporte recurrente mensual post-proyecto se contrata por separado. El repositorio GitHub permanece accesible para consultas de la entidad indefinidamente.</t>
  </si>
  <si>
    <t xml:space="preserve">Propiedad intelectual</t>
  </si>
  <si>
    <t xml:space="preserve">Todo el código, datos procesados y documentación son activos de la Gobernación del Valle del Cauca, bajo licencia de código abierto (MIT o Apache 2.0). El equipo implementador no retiene derechos exclusivos. Esto garantiza auditoría, reutilización y continuidad independiente del proveedor original.</t>
  </si>
  <si>
    <t xml:space="preserve">Equipo</t>
  </si>
  <si>
    <t xml:space="preserve">5 perfiles con dedicación sostenida durante los 8 meses. La rotación de personal durante el proyecto es el principal riesgo mitigado con documentación continua en GitHub y política de onboarding estructurado. El reemplazo de cualquier perfil no debe superar 2 semanas de inducción si el repositorio está bien documentado.</t>
  </si>
</sst>
</file>

<file path=xl/styles.xml><?xml version="1.0" encoding="utf-8"?>
<styleSheet xmlns="http://schemas.openxmlformats.org/spreadsheetml/2006/main">
  <numFmts count="4">
    <numFmt numFmtId="164" formatCode="General"/>
    <numFmt numFmtId="165" formatCode="_(\$* #,##0_);_(\$* \(#,##0\);_(\$* \-_);_(@_)"/>
    <numFmt numFmtId="166" formatCode="0%"/>
    <numFmt numFmtId="167" formatCode="0"/>
  </numFmts>
  <fonts count="2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1A3A5C"/>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sz val="9"/>
      <color rgb="FF000000"/>
      <name val="Arial"/>
      <family val="0"/>
      <charset val="1"/>
    </font>
    <font>
      <sz val="10"/>
      <color rgb="FF0000FF"/>
      <name val="Arial"/>
      <family val="0"/>
      <charset val="1"/>
    </font>
    <font>
      <i val="true"/>
      <sz val="9"/>
      <color rgb="FFE65100"/>
      <name val="Arial"/>
      <family val="0"/>
      <charset val="1"/>
    </font>
    <font>
      <b val="true"/>
      <sz val="10"/>
      <color rgb="FF1A3A5C"/>
      <name val="Arial"/>
      <family val="0"/>
      <charset val="1"/>
    </font>
    <font>
      <b val="true"/>
      <sz val="9"/>
      <color rgb="FF000000"/>
      <name val="Arial"/>
      <family val="0"/>
      <charset val="1"/>
    </font>
    <font>
      <b val="true"/>
      <sz val="9"/>
      <color rgb="FF1A3A5C"/>
      <name val="Arial"/>
      <family val="0"/>
      <charset val="1"/>
    </font>
    <font>
      <b val="true"/>
      <sz val="9"/>
      <color rgb="FFE65100"/>
      <name val="Arial"/>
      <family val="0"/>
      <charset val="1"/>
    </font>
    <font>
      <b val="true"/>
      <sz val="10"/>
      <color rgb="FFFFFFFF"/>
      <name val="Arial"/>
      <family val="0"/>
      <charset val="1"/>
    </font>
    <font>
      <b val="true"/>
      <sz val="9"/>
      <color rgb="FF424242"/>
      <name val="Arial"/>
      <family val="0"/>
      <charset val="1"/>
    </font>
    <font>
      <sz val="9"/>
      <color rgb="FF424242"/>
      <name val="Arial"/>
      <family val="0"/>
      <charset val="1"/>
    </font>
    <font>
      <b val="true"/>
      <sz val="10"/>
      <color rgb="FF007B73"/>
      <name val="Arial"/>
      <family val="0"/>
      <charset val="1"/>
    </font>
    <font>
      <i val="true"/>
      <sz val="9"/>
      <color rgb="FF424242"/>
      <name val="Arial"/>
      <family val="0"/>
      <charset val="1"/>
    </font>
    <font>
      <sz val="9"/>
      <color rgb="FFE65100"/>
      <name val="Arial"/>
      <family val="0"/>
      <charset val="1"/>
    </font>
    <font>
      <b val="true"/>
      <sz val="10"/>
      <color rgb="FF0000FF"/>
      <name val="Arial"/>
      <family val="0"/>
      <charset val="1"/>
    </font>
    <font>
      <sz val="9"/>
      <color rgb="FF2E7D32"/>
      <name val="Arial"/>
      <family val="0"/>
      <charset val="1"/>
    </font>
  </fonts>
  <fills count="12">
    <fill>
      <patternFill patternType="none"/>
    </fill>
    <fill>
      <patternFill patternType="gray125"/>
    </fill>
    <fill>
      <patternFill patternType="solid">
        <fgColor rgb="FF007B73"/>
        <bgColor rgb="FF008080"/>
      </patternFill>
    </fill>
    <fill>
      <patternFill patternType="solid">
        <fgColor rgb="FFD6E4F0"/>
        <bgColor rgb="FFE0E0E0"/>
      </patternFill>
    </fill>
    <fill>
      <patternFill patternType="solid">
        <fgColor rgb="FFF5F5F5"/>
        <bgColor rgb="FFFFF3E0"/>
      </patternFill>
    </fill>
    <fill>
      <patternFill patternType="solid">
        <fgColor rgb="FFFFFFFF"/>
        <bgColor rgb="FFF5F5F5"/>
      </patternFill>
    </fill>
    <fill>
      <patternFill patternType="solid">
        <fgColor rgb="FFE65100"/>
        <bgColor rgb="FF993300"/>
      </patternFill>
    </fill>
    <fill>
      <patternFill patternType="solid">
        <fgColor rgb="FFFFF3E0"/>
        <bgColor rgb="FFF5F5F5"/>
      </patternFill>
    </fill>
    <fill>
      <patternFill patternType="solid">
        <fgColor rgb="FF1A3A5C"/>
        <bgColor rgb="FF424242"/>
      </patternFill>
    </fill>
    <fill>
      <patternFill patternType="solid">
        <fgColor rgb="FFE0F4F2"/>
        <bgColor rgb="FFF5F5F5"/>
      </patternFill>
    </fill>
    <fill>
      <patternFill patternType="solid">
        <fgColor rgb="FFE0E0E0"/>
        <bgColor rgb="FFD6E4F0"/>
      </patternFill>
    </fill>
    <fill>
      <patternFill patternType="solid">
        <fgColor rgb="FFB2E0DB"/>
        <bgColor rgb="FFD6E4F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5" fontId="10" fillId="4"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5" fontId="10" fillId="5" borderId="1" xfId="0" applyFont="true" applyBorder="true" applyAlignment="true" applyProtection="false">
      <alignment horizontal="right" vertical="center" textRotation="0" wrapText="false" indent="0" shrinkToFit="false"/>
      <protection locked="true" hidden="false"/>
    </xf>
    <xf numFmtId="164" fontId="6" fillId="6" borderId="1" xfId="0" applyFont="true" applyBorder="true" applyAlignment="true" applyProtection="false">
      <alignment horizontal="left"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left" vertical="center"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17" fillId="3" borderId="1" xfId="0" applyFont="true" applyBorder="true" applyAlignment="true" applyProtection="false">
      <alignment horizontal="left" vertical="center" textRotation="0" wrapText="true" indent="0" shrinkToFit="false"/>
      <protection locked="true" hidden="false"/>
    </xf>
    <xf numFmtId="164" fontId="18" fillId="9" borderId="1" xfId="0" applyFont="true" applyBorder="true" applyAlignment="true" applyProtection="false">
      <alignment horizontal="left" vertical="center" textRotation="0" wrapText="true" indent="0" shrinkToFit="false"/>
      <protection locked="true" hidden="false"/>
    </xf>
    <xf numFmtId="164" fontId="0" fillId="11" borderId="1" xfId="0" applyFont="fals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left" vertical="center" textRotation="0" wrapText="true" indent="0" shrinkToFit="false"/>
      <protection locked="true" hidden="false"/>
    </xf>
    <xf numFmtId="166" fontId="10" fillId="9" borderId="1" xfId="0" applyFont="true" applyBorder="true" applyAlignment="true" applyProtection="false">
      <alignment horizontal="center" vertical="center" textRotation="0" wrapText="false" indent="0" shrinkToFit="false"/>
      <protection locked="true" hidden="false"/>
    </xf>
    <xf numFmtId="167" fontId="10" fillId="9" borderId="1" xfId="0" applyFont="true" applyBorder="true" applyAlignment="true" applyProtection="false">
      <alignment horizontal="center" vertical="center" textRotation="0" wrapText="false" indent="0" shrinkToFit="false"/>
      <protection locked="true" hidden="false"/>
    </xf>
    <xf numFmtId="165" fontId="10" fillId="9" borderId="1" xfId="0" applyFont="true" applyBorder="true" applyAlignment="true" applyProtection="false">
      <alignment horizontal="right" vertical="center" textRotation="0" wrapText="false" indent="0" shrinkToFit="false"/>
      <protection locked="true" hidden="false"/>
    </xf>
    <xf numFmtId="165" fontId="7" fillId="9" borderId="1" xfId="0" applyFont="true" applyBorder="true" applyAlignment="true" applyProtection="false">
      <alignment horizontal="right" vertical="center" textRotation="0" wrapText="false" indent="0" shrinkToFit="false"/>
      <protection locked="true" hidden="false"/>
    </xf>
    <xf numFmtId="166" fontId="10" fillId="5" borderId="1" xfId="0" applyFont="true" applyBorder="true" applyAlignment="true" applyProtection="false">
      <alignment horizontal="center" vertical="center" textRotation="0" wrapText="false" indent="0" shrinkToFit="false"/>
      <protection locked="true" hidden="false"/>
    </xf>
    <xf numFmtId="167" fontId="10" fillId="5" borderId="1" xfId="0" applyFont="true" applyBorder="true" applyAlignment="true" applyProtection="false">
      <alignment horizontal="center" vertical="center" textRotation="0" wrapText="fals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6" fontId="10" fillId="4" borderId="1" xfId="0" applyFont="true" applyBorder="true" applyAlignment="true" applyProtection="false">
      <alignment horizontal="center" vertical="center" textRotation="0" wrapText="false" indent="0" shrinkToFit="false"/>
      <protection locked="true" hidden="false"/>
    </xf>
    <xf numFmtId="167" fontId="10" fillId="4"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19" fillId="9" borderId="1" xfId="0" applyFont="true" applyBorder="true" applyAlignment="true" applyProtection="false">
      <alignment horizontal="left" vertical="center" textRotation="0" wrapText="false" indent="0" shrinkToFit="false"/>
      <protection locked="true" hidden="false"/>
    </xf>
    <xf numFmtId="164" fontId="20" fillId="9"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20" fillId="5"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5" fontId="8" fillId="4" borderId="1" xfId="0" applyFont="true" applyBorder="true" applyAlignment="true" applyProtection="false">
      <alignment horizontal="right" vertical="center" textRotation="0" wrapText="false" indent="0" shrinkToFit="false"/>
      <protection locked="true" hidden="false"/>
    </xf>
    <xf numFmtId="164" fontId="20" fillId="4" borderId="1" xfId="0" applyFont="true" applyBorder="true" applyAlignment="true" applyProtection="false">
      <alignment horizontal="left" vertical="center" textRotation="0" wrapText="true" indent="0" shrinkToFit="false"/>
      <protection locked="true" hidden="false"/>
    </xf>
    <xf numFmtId="164" fontId="16" fillId="2" borderId="1" xfId="0" applyFont="true" applyBorder="true" applyAlignment="true" applyProtection="false">
      <alignment horizontal="left" vertical="center" textRotation="0" wrapText="false" indent="0" shrinkToFit="false"/>
      <protection locked="true" hidden="false"/>
    </xf>
    <xf numFmtId="165" fontId="16" fillId="2" borderId="1" xfId="0" applyFont="true" applyBorder="true" applyAlignment="true" applyProtection="false">
      <alignment horizontal="right" vertical="center" textRotation="0" wrapText="false" indent="0" shrinkToFit="false"/>
      <protection locked="true" hidden="false"/>
    </xf>
    <xf numFmtId="164" fontId="20" fillId="2" borderId="1" xfId="0" applyFont="true" applyBorder="true" applyAlignment="true" applyProtection="false">
      <alignment horizontal="left" vertical="center" textRotation="0" wrapText="true" indent="0" shrinkToFit="false"/>
      <protection locked="true" hidden="false"/>
    </xf>
    <xf numFmtId="164" fontId="21" fillId="4" borderId="1" xfId="0" applyFont="true" applyBorder="true" applyAlignment="true" applyProtection="false">
      <alignment horizontal="left" vertical="center" textRotation="0" wrapText="true" indent="0" shrinkToFit="false"/>
      <protection locked="true" hidden="false"/>
    </xf>
    <xf numFmtId="165" fontId="22" fillId="9" borderId="1" xfId="0" applyFont="true" applyBorder="true" applyAlignment="true" applyProtection="false">
      <alignment horizontal="right" vertical="center" textRotation="0" wrapText="false" indent="0" shrinkToFit="false"/>
      <protection locked="true" hidden="false"/>
    </xf>
    <xf numFmtId="164" fontId="23" fillId="4"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B73"/>
      <rgbColor rgb="FFCCCCCC"/>
      <rgbColor rgb="FF808080"/>
      <rgbColor rgb="FF9999FF"/>
      <rgbColor rgb="FF993366"/>
      <rgbColor rgb="FFFFF3E0"/>
      <rgbColor rgb="FFE0F4F2"/>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5F5F5"/>
      <rgbColor rgb="FFE0E0E0"/>
      <rgbColor rgb="FFFFFF99"/>
      <rgbColor rgb="FFB2E0DB"/>
      <rgbColor rgb="FFFF99CC"/>
      <rgbColor rgb="FFCC99FF"/>
      <rgbColor rgb="FFFFCC99"/>
      <rgbColor rgb="FF3366FF"/>
      <rgbColor rgb="FF33CCCC"/>
      <rgbColor rgb="FF99CC00"/>
      <rgbColor rgb="FFFFCC00"/>
      <rgbColor rgb="FFFF9900"/>
      <rgbColor rgb="FFE65100"/>
      <rgbColor rgb="FF666699"/>
      <rgbColor rgb="FF969696"/>
      <rgbColor rgb="FF1A3A5C"/>
      <rgbColor rgb="FF2E7D32"/>
      <rgbColor rgb="FF003300"/>
      <rgbColor rgb="FF333300"/>
      <rgbColor rgb="FF993300"/>
      <rgbColor rgb="FF993366"/>
      <rgbColor rgb="FF333399"/>
      <rgbColor rgb="FF424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3" min="2" style="1" width="14"/>
    <col collapsed="false" customWidth="true" hidden="false" outlineLevel="0" max="4" min="4" style="1" width="42"/>
    <col collapsed="false" customWidth="true" hidden="false" outlineLevel="0" max="5" min="5" style="1" width="16"/>
    <col collapsed="false" customWidth="true" hidden="false" outlineLevel="0" max="6" min="6" style="1" width="38"/>
  </cols>
  <sheetData>
    <row r="1" customFormat="false" ht="21.75" hidden="false" customHeight="true" outlineLevel="0" collapsed="false">
      <c r="A1" s="2" t="s">
        <v>0</v>
      </c>
      <c r="B1" s="2"/>
      <c r="C1" s="2"/>
      <c r="D1" s="2"/>
      <c r="E1" s="2"/>
      <c r="F1" s="2"/>
    </row>
    <row r="2" customFormat="false" ht="30" hidden="false" customHeight="true" outlineLevel="0" collapsed="false">
      <c r="A2" s="3" t="s">
        <v>1</v>
      </c>
      <c r="B2" s="3"/>
      <c r="C2" s="3"/>
      <c r="D2" s="3"/>
      <c r="E2" s="3"/>
      <c r="F2" s="3"/>
    </row>
    <row r="4" customFormat="false" ht="18" hidden="false" customHeight="true" outlineLevel="0" collapsed="false">
      <c r="A4" s="4" t="s">
        <v>2</v>
      </c>
      <c r="B4" s="4" t="s">
        <v>3</v>
      </c>
      <c r="C4" s="4" t="s">
        <v>4</v>
      </c>
      <c r="D4" s="4" t="s">
        <v>5</v>
      </c>
      <c r="E4" s="4" t="s">
        <v>6</v>
      </c>
      <c r="F4" s="4" t="s">
        <v>7</v>
      </c>
    </row>
    <row r="5" customFormat="false" ht="60" hidden="false" customHeight="true" outlineLevel="0" collapsed="false">
      <c r="A5" s="5" t="s">
        <v>8</v>
      </c>
      <c r="B5" s="6" t="s">
        <v>9</v>
      </c>
      <c r="C5" s="6" t="s">
        <v>10</v>
      </c>
      <c r="D5" s="7" t="s">
        <v>11</v>
      </c>
      <c r="E5" s="8" t="n">
        <v>280000000</v>
      </c>
      <c r="F5" s="7" t="s">
        <v>12</v>
      </c>
    </row>
    <row r="6" customFormat="false" ht="60" hidden="false" customHeight="true" outlineLevel="0" collapsed="false">
      <c r="A6" s="9" t="s">
        <v>13</v>
      </c>
      <c r="B6" s="10" t="s">
        <v>9</v>
      </c>
      <c r="C6" s="10" t="s">
        <v>14</v>
      </c>
      <c r="D6" s="11" t="s">
        <v>15</v>
      </c>
      <c r="E6" s="12" t="n">
        <v>380000000</v>
      </c>
      <c r="F6" s="11" t="s">
        <v>16</v>
      </c>
    </row>
    <row r="7" customFormat="false" ht="60" hidden="false" customHeight="true" outlineLevel="0" collapsed="false">
      <c r="A7" s="5" t="s">
        <v>17</v>
      </c>
      <c r="B7" s="6" t="s">
        <v>9</v>
      </c>
      <c r="C7" s="6" t="s">
        <v>18</v>
      </c>
      <c r="D7" s="7" t="s">
        <v>19</v>
      </c>
      <c r="E7" s="8" t="n">
        <v>520000000</v>
      </c>
      <c r="F7" s="7" t="s">
        <v>20</v>
      </c>
    </row>
    <row r="9" customFormat="false" ht="21.75" hidden="false" customHeight="true" outlineLevel="0" collapsed="false">
      <c r="A9" s="13" t="s">
        <v>21</v>
      </c>
      <c r="B9" s="13"/>
      <c r="C9" s="13"/>
      <c r="D9" s="13"/>
      <c r="E9" s="13"/>
      <c r="F9" s="13"/>
    </row>
    <row r="10" customFormat="false" ht="30" hidden="false" customHeight="true" outlineLevel="0" collapsed="false">
      <c r="A10" s="14" t="s">
        <v>22</v>
      </c>
      <c r="B10" s="14"/>
      <c r="C10" s="14"/>
      <c r="D10" s="14"/>
      <c r="E10" s="14"/>
      <c r="F10" s="14"/>
    </row>
    <row r="12" customFormat="false" ht="21.75" hidden="false" customHeight="true" outlineLevel="0" collapsed="false">
      <c r="A12" s="15" t="s">
        <v>23</v>
      </c>
      <c r="B12" s="15"/>
      <c r="C12" s="15"/>
      <c r="D12" s="15"/>
      <c r="E12" s="15"/>
      <c r="F12" s="15"/>
    </row>
    <row r="13" customFormat="false" ht="18" hidden="false" customHeight="true" outlineLevel="0" collapsed="false">
      <c r="A13" s="16" t="s">
        <v>24</v>
      </c>
      <c r="B13" s="16" t="s">
        <v>25</v>
      </c>
      <c r="C13" s="16"/>
      <c r="D13" s="16"/>
      <c r="E13" s="16"/>
      <c r="F13" s="16"/>
    </row>
    <row r="14" customFormat="false" ht="30" hidden="false" customHeight="true" outlineLevel="0" collapsed="false">
      <c r="A14" s="17" t="s">
        <v>26</v>
      </c>
      <c r="B14" s="18" t="s">
        <v>27</v>
      </c>
      <c r="C14" s="18"/>
      <c r="D14" s="18"/>
      <c r="E14" s="18"/>
      <c r="F14" s="18"/>
    </row>
    <row r="15" customFormat="false" ht="30" hidden="false" customHeight="true" outlineLevel="0" collapsed="false">
      <c r="A15" s="9" t="s">
        <v>28</v>
      </c>
      <c r="B15" s="19" t="s">
        <v>29</v>
      </c>
      <c r="C15" s="19"/>
      <c r="D15" s="19"/>
      <c r="E15" s="19"/>
      <c r="F15" s="19"/>
    </row>
    <row r="16" customFormat="false" ht="30" hidden="false" customHeight="true" outlineLevel="0" collapsed="false">
      <c r="A16" s="17" t="s">
        <v>30</v>
      </c>
      <c r="B16" s="18" t="s">
        <v>31</v>
      </c>
      <c r="C16" s="18"/>
      <c r="D16" s="18"/>
      <c r="E16" s="18"/>
      <c r="F16" s="18"/>
    </row>
    <row r="17" customFormat="false" ht="30" hidden="false" customHeight="true" outlineLevel="0" collapsed="false">
      <c r="A17" s="9" t="s">
        <v>32</v>
      </c>
      <c r="B17" s="19" t="s">
        <v>33</v>
      </c>
      <c r="C17" s="19"/>
      <c r="D17" s="19"/>
      <c r="E17" s="19"/>
      <c r="F17" s="19"/>
    </row>
    <row r="18" customFormat="false" ht="30" hidden="false" customHeight="true" outlineLevel="0" collapsed="false">
      <c r="A18" s="17" t="s">
        <v>34</v>
      </c>
      <c r="B18" s="18" t="s">
        <v>35</v>
      </c>
      <c r="C18" s="18"/>
      <c r="D18" s="18"/>
      <c r="E18" s="18"/>
      <c r="F18" s="18"/>
    </row>
    <row r="19" customFormat="false" ht="30" hidden="false" customHeight="true" outlineLevel="0" collapsed="false">
      <c r="A19" s="9" t="s">
        <v>36</v>
      </c>
      <c r="B19" s="19" t="s">
        <v>37</v>
      </c>
      <c r="C19" s="19"/>
      <c r="D19" s="19"/>
      <c r="E19" s="19"/>
      <c r="F19" s="19"/>
    </row>
    <row r="20" customFormat="false" ht="30" hidden="false" customHeight="true" outlineLevel="0" collapsed="false">
      <c r="A20" s="17" t="s">
        <v>38</v>
      </c>
      <c r="B20" s="18" t="s">
        <v>39</v>
      </c>
      <c r="C20" s="18"/>
      <c r="D20" s="18"/>
      <c r="E20" s="18"/>
      <c r="F20" s="18"/>
    </row>
    <row r="21" customFormat="false" ht="30" hidden="false" customHeight="true" outlineLevel="0" collapsed="false">
      <c r="A21" s="9" t="s">
        <v>40</v>
      </c>
      <c r="B21" s="19" t="s">
        <v>41</v>
      </c>
      <c r="C21" s="19"/>
      <c r="D21" s="19"/>
      <c r="E21" s="19"/>
      <c r="F21" s="19"/>
    </row>
  </sheetData>
  <mergeCells count="14">
    <mergeCell ref="A1:F1"/>
    <mergeCell ref="A2:F2"/>
    <mergeCell ref="A9:F9"/>
    <mergeCell ref="A10:F10"/>
    <mergeCell ref="A12:F12"/>
    <mergeCell ref="B13:F13"/>
    <mergeCell ref="B14:F14"/>
    <mergeCell ref="B15:F15"/>
    <mergeCell ref="B16:F16"/>
    <mergeCell ref="B17:F17"/>
    <mergeCell ref="B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28"/>
    <col collapsed="false" customWidth="true" hidden="false" outlineLevel="0" max="4" min="4" style="1" width="30"/>
    <col collapsed="false" customWidth="true" hidden="false" outlineLevel="0" max="6" min="5" style="1" width="32"/>
  </cols>
  <sheetData>
    <row r="1" customFormat="false" ht="21.75" hidden="false" customHeight="true" outlineLevel="0" collapsed="false">
      <c r="A1" s="2" t="s">
        <v>42</v>
      </c>
      <c r="B1" s="2"/>
      <c r="C1" s="2"/>
      <c r="D1" s="2"/>
      <c r="E1" s="2"/>
      <c r="F1" s="2"/>
    </row>
    <row r="2" customFormat="false" ht="30" hidden="false" customHeight="true" outlineLevel="0" collapsed="false">
      <c r="A2" s="3" t="s">
        <v>43</v>
      </c>
      <c r="B2" s="3"/>
      <c r="C2" s="3"/>
      <c r="D2" s="3"/>
      <c r="E2" s="3"/>
      <c r="F2" s="3"/>
    </row>
    <row r="4" customFormat="false" ht="19.5" hidden="false" customHeight="true" outlineLevel="0" collapsed="false">
      <c r="A4" s="4" t="s">
        <v>44</v>
      </c>
      <c r="B4" s="4" t="s">
        <v>45</v>
      </c>
      <c r="C4" s="4" t="s">
        <v>46</v>
      </c>
      <c r="D4" s="4" t="s">
        <v>47</v>
      </c>
      <c r="E4" s="4" t="s">
        <v>48</v>
      </c>
      <c r="F4" s="4" t="s">
        <v>49</v>
      </c>
    </row>
    <row r="5" customFormat="false" ht="79.5" hidden="false" customHeight="true" outlineLevel="0" collapsed="false">
      <c r="A5" s="20" t="s">
        <v>50</v>
      </c>
      <c r="B5" s="21" t="s">
        <v>51</v>
      </c>
      <c r="C5" s="21" t="s">
        <v>52</v>
      </c>
      <c r="D5" s="21" t="s">
        <v>53</v>
      </c>
      <c r="E5" s="21" t="s">
        <v>54</v>
      </c>
      <c r="F5" s="21" t="s">
        <v>55</v>
      </c>
    </row>
    <row r="6" customFormat="false" ht="79.5" hidden="false" customHeight="true" outlineLevel="0" collapsed="false">
      <c r="A6" s="22" t="s">
        <v>56</v>
      </c>
      <c r="B6" s="11" t="s">
        <v>57</v>
      </c>
      <c r="C6" s="11" t="s">
        <v>58</v>
      </c>
      <c r="D6" s="11" t="s">
        <v>59</v>
      </c>
      <c r="E6" s="11" t="s">
        <v>60</v>
      </c>
      <c r="F6" s="11" t="s">
        <v>61</v>
      </c>
    </row>
    <row r="7" customFormat="false" ht="79.5" hidden="false" customHeight="true" outlineLevel="0" collapsed="false">
      <c r="A7" s="23" t="s">
        <v>62</v>
      </c>
      <c r="B7" s="7" t="s">
        <v>63</v>
      </c>
      <c r="C7" s="7" t="s">
        <v>64</v>
      </c>
      <c r="D7" s="7" t="s">
        <v>65</v>
      </c>
      <c r="E7" s="7" t="s">
        <v>66</v>
      </c>
      <c r="F7" s="7" t="s">
        <v>67</v>
      </c>
    </row>
    <row r="8" customFormat="false" ht="79.5" hidden="false" customHeight="true" outlineLevel="0" collapsed="false">
      <c r="A8" s="22" t="s">
        <v>68</v>
      </c>
      <c r="B8" s="11" t="s">
        <v>69</v>
      </c>
      <c r="C8" s="11" t="s">
        <v>70</v>
      </c>
      <c r="D8" s="11" t="s">
        <v>71</v>
      </c>
      <c r="E8" s="11" t="s">
        <v>72</v>
      </c>
      <c r="F8" s="11" t="s">
        <v>73</v>
      </c>
    </row>
    <row r="10" customFormat="false" ht="21.75" hidden="false" customHeight="true" outlineLevel="0" collapsed="false">
      <c r="A10" s="15" t="s">
        <v>74</v>
      </c>
      <c r="B10" s="15"/>
      <c r="C10" s="15"/>
      <c r="D10" s="15"/>
      <c r="E10" s="15"/>
      <c r="F10" s="15"/>
    </row>
    <row r="11" customFormat="false" ht="69.75" hidden="false" customHeight="true" outlineLevel="0" collapsed="false">
      <c r="A11" s="24" t="s">
        <v>75</v>
      </c>
      <c r="B11" s="25" t="s">
        <v>76</v>
      </c>
      <c r="C11" s="25" t="s">
        <v>77</v>
      </c>
      <c r="D11" s="25" t="s">
        <v>78</v>
      </c>
      <c r="E11" s="25" t="s">
        <v>79</v>
      </c>
      <c r="F11" s="25" t="s">
        <v>80</v>
      </c>
    </row>
    <row r="12" customFormat="false" ht="69.75" hidden="false" customHeight="true" outlineLevel="0" collapsed="false">
      <c r="A12" s="24" t="s">
        <v>81</v>
      </c>
      <c r="B12" s="25" t="s">
        <v>82</v>
      </c>
      <c r="C12" s="25" t="s">
        <v>83</v>
      </c>
      <c r="D12" s="25" t="s">
        <v>84</v>
      </c>
      <c r="E12" s="25" t="s">
        <v>85</v>
      </c>
      <c r="F12" s="25" t="s">
        <v>86</v>
      </c>
    </row>
    <row r="13" customFormat="false" ht="69.75" hidden="false" customHeight="true" outlineLevel="0" collapsed="false">
      <c r="A13" s="24" t="s">
        <v>87</v>
      </c>
      <c r="B13" s="25" t="s">
        <v>88</v>
      </c>
      <c r="C13" s="25" t="s">
        <v>89</v>
      </c>
      <c r="D13" s="25" t="s">
        <v>90</v>
      </c>
      <c r="E13" s="25" t="s">
        <v>91</v>
      </c>
      <c r="F13" s="25" t="s">
        <v>92</v>
      </c>
    </row>
    <row r="14" customFormat="false" ht="69.75" hidden="false" customHeight="true" outlineLevel="0" collapsed="false">
      <c r="A14" s="26" t="s">
        <v>93</v>
      </c>
      <c r="B14" s="27" t="s">
        <v>94</v>
      </c>
      <c r="C14" s="27" t="s">
        <v>95</v>
      </c>
      <c r="D14" s="27" t="s">
        <v>95</v>
      </c>
      <c r="E14" s="27" t="s">
        <v>95</v>
      </c>
      <c r="F14" s="27" t="s">
        <v>96</v>
      </c>
    </row>
  </sheetData>
  <mergeCells count="3">
    <mergeCell ref="A1:F1"/>
    <mergeCell ref="A2:F2"/>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9" min="2" style="1" width="10"/>
    <col collapsed="false" customWidth="true" hidden="false" outlineLevel="0" max="10" min="10" style="1" width="28"/>
  </cols>
  <sheetData>
    <row r="1" customFormat="false" ht="21.75" hidden="false" customHeight="true" outlineLevel="0" collapsed="false">
      <c r="A1" s="2" t="s">
        <v>97</v>
      </c>
      <c r="B1" s="2"/>
      <c r="C1" s="2"/>
      <c r="D1" s="2"/>
      <c r="E1" s="2"/>
      <c r="F1" s="2"/>
      <c r="G1" s="2"/>
      <c r="H1" s="2"/>
      <c r="I1" s="2"/>
      <c r="J1" s="2"/>
    </row>
    <row r="2" customFormat="false" ht="30" hidden="false" customHeight="true" outlineLevel="0" collapsed="false">
      <c r="A2" s="3" t="s">
        <v>98</v>
      </c>
      <c r="B2" s="3"/>
      <c r="C2" s="3"/>
      <c r="D2" s="3"/>
      <c r="E2" s="3"/>
      <c r="F2" s="3"/>
      <c r="G2" s="3"/>
      <c r="H2" s="3"/>
      <c r="I2" s="3"/>
      <c r="J2" s="3"/>
    </row>
    <row r="4" customFormat="false" ht="19.5" hidden="false" customHeight="true" outlineLevel="0" collapsed="false">
      <c r="A4" s="28" t="s">
        <v>99</v>
      </c>
      <c r="B4" s="29" t="s">
        <v>100</v>
      </c>
      <c r="C4" s="29" t="s">
        <v>101</v>
      </c>
      <c r="D4" s="29" t="s">
        <v>102</v>
      </c>
      <c r="E4" s="29" t="s">
        <v>103</v>
      </c>
      <c r="F4" s="29" t="s">
        <v>104</v>
      </c>
      <c r="G4" s="29" t="s">
        <v>105</v>
      </c>
      <c r="H4" s="29" t="s">
        <v>106</v>
      </c>
      <c r="I4" s="29" t="s">
        <v>107</v>
      </c>
      <c r="J4" s="30" t="s">
        <v>108</v>
      </c>
    </row>
    <row r="5" customFormat="false" ht="39.75" hidden="false" customHeight="true" outlineLevel="0" collapsed="false">
      <c r="A5" s="31" t="s">
        <v>109</v>
      </c>
      <c r="B5" s="32"/>
      <c r="C5" s="32"/>
      <c r="D5" s="33"/>
      <c r="E5" s="33"/>
      <c r="F5" s="33"/>
      <c r="G5" s="33"/>
      <c r="H5" s="33"/>
      <c r="I5" s="33"/>
      <c r="J5" s="34" t="s">
        <v>110</v>
      </c>
    </row>
    <row r="6" customFormat="false" ht="30" hidden="false" customHeight="true" outlineLevel="0" collapsed="false">
      <c r="A6" s="35" t="s">
        <v>111</v>
      </c>
      <c r="B6" s="36"/>
      <c r="C6" s="37"/>
      <c r="D6" s="37"/>
      <c r="E6" s="37"/>
      <c r="F6" s="37"/>
      <c r="G6" s="37"/>
      <c r="H6" s="37"/>
      <c r="I6" s="37"/>
      <c r="J6" s="38"/>
    </row>
    <row r="7" customFormat="false" ht="30" hidden="false" customHeight="true" outlineLevel="0" collapsed="false">
      <c r="A7" s="35" t="s">
        <v>112</v>
      </c>
      <c r="B7" s="37"/>
      <c r="C7" s="36"/>
      <c r="D7" s="37"/>
      <c r="E7" s="37"/>
      <c r="F7" s="37"/>
      <c r="G7" s="37"/>
      <c r="H7" s="37"/>
      <c r="I7" s="37"/>
      <c r="J7" s="38"/>
    </row>
    <row r="8" customFormat="false" ht="30" hidden="false" customHeight="true" outlineLevel="0" collapsed="false">
      <c r="A8" s="35" t="s">
        <v>113</v>
      </c>
      <c r="B8" s="36"/>
      <c r="C8" s="36"/>
      <c r="D8" s="37"/>
      <c r="E8" s="37"/>
      <c r="F8" s="37"/>
      <c r="G8" s="37"/>
      <c r="H8" s="37"/>
      <c r="I8" s="37"/>
      <c r="J8" s="38"/>
    </row>
    <row r="9" customFormat="false" ht="39.75" hidden="false" customHeight="true" outlineLevel="0" collapsed="false">
      <c r="A9" s="31" t="s">
        <v>114</v>
      </c>
      <c r="B9" s="33"/>
      <c r="C9" s="32"/>
      <c r="D9" s="32"/>
      <c r="E9" s="33"/>
      <c r="F9" s="33"/>
      <c r="G9" s="33"/>
      <c r="H9" s="33"/>
      <c r="I9" s="33"/>
      <c r="J9" s="34" t="s">
        <v>115</v>
      </c>
    </row>
    <row r="10" customFormat="false" ht="30" hidden="false" customHeight="true" outlineLevel="0" collapsed="false">
      <c r="A10" s="35" t="s">
        <v>116</v>
      </c>
      <c r="B10" s="37"/>
      <c r="C10" s="36"/>
      <c r="D10" s="37"/>
      <c r="E10" s="37"/>
      <c r="F10" s="37"/>
      <c r="G10" s="37"/>
      <c r="H10" s="37"/>
      <c r="I10" s="37"/>
      <c r="J10" s="38"/>
    </row>
    <row r="11" customFormat="false" ht="30" hidden="false" customHeight="true" outlineLevel="0" collapsed="false">
      <c r="A11" s="35" t="s">
        <v>117</v>
      </c>
      <c r="B11" s="37"/>
      <c r="C11" s="36"/>
      <c r="D11" s="36"/>
      <c r="E11" s="37"/>
      <c r="F11" s="37"/>
      <c r="G11" s="37"/>
      <c r="H11" s="37"/>
      <c r="I11" s="37"/>
      <c r="J11" s="38"/>
    </row>
    <row r="12" customFormat="false" ht="30" hidden="false" customHeight="true" outlineLevel="0" collapsed="false">
      <c r="A12" s="35" t="s">
        <v>118</v>
      </c>
      <c r="B12" s="37"/>
      <c r="C12" s="37"/>
      <c r="D12" s="36"/>
      <c r="E12" s="37"/>
      <c r="F12" s="37"/>
      <c r="G12" s="37"/>
      <c r="H12" s="37"/>
      <c r="I12" s="37"/>
      <c r="J12" s="38"/>
    </row>
    <row r="13" customFormat="false" ht="39.75" hidden="false" customHeight="true" outlineLevel="0" collapsed="false">
      <c r="A13" s="31" t="s">
        <v>119</v>
      </c>
      <c r="B13" s="33"/>
      <c r="C13" s="33"/>
      <c r="D13" s="32"/>
      <c r="E13" s="32"/>
      <c r="F13" s="33"/>
      <c r="G13" s="33"/>
      <c r="H13" s="33"/>
      <c r="I13" s="33"/>
      <c r="J13" s="34" t="s">
        <v>120</v>
      </c>
    </row>
    <row r="14" customFormat="false" ht="30" hidden="false" customHeight="true" outlineLevel="0" collapsed="false">
      <c r="A14" s="35" t="s">
        <v>121</v>
      </c>
      <c r="B14" s="37"/>
      <c r="C14" s="37"/>
      <c r="D14" s="36"/>
      <c r="E14" s="36"/>
      <c r="F14" s="37"/>
      <c r="G14" s="37"/>
      <c r="H14" s="37"/>
      <c r="I14" s="37"/>
      <c r="J14" s="38"/>
    </row>
    <row r="15" customFormat="false" ht="30" hidden="false" customHeight="true" outlineLevel="0" collapsed="false">
      <c r="A15" s="35" t="s">
        <v>122</v>
      </c>
      <c r="B15" s="37"/>
      <c r="C15" s="37"/>
      <c r="D15" s="37"/>
      <c r="E15" s="36"/>
      <c r="F15" s="37"/>
      <c r="G15" s="37"/>
      <c r="H15" s="37"/>
      <c r="I15" s="37"/>
      <c r="J15" s="38"/>
    </row>
    <row r="16" customFormat="false" ht="30" hidden="false" customHeight="true" outlineLevel="0" collapsed="false">
      <c r="A16" s="35" t="s">
        <v>123</v>
      </c>
      <c r="B16" s="37"/>
      <c r="C16" s="37"/>
      <c r="D16" s="37"/>
      <c r="E16" s="36"/>
      <c r="F16" s="37"/>
      <c r="G16" s="37"/>
      <c r="H16" s="37"/>
      <c r="I16" s="37"/>
      <c r="J16" s="38"/>
    </row>
    <row r="17" customFormat="false" ht="39.75" hidden="false" customHeight="true" outlineLevel="0" collapsed="false">
      <c r="A17" s="31" t="s">
        <v>124</v>
      </c>
      <c r="B17" s="33"/>
      <c r="C17" s="33"/>
      <c r="D17" s="33"/>
      <c r="E17" s="32"/>
      <c r="F17" s="32"/>
      <c r="G17" s="33"/>
      <c r="H17" s="33"/>
      <c r="I17" s="33"/>
      <c r="J17" s="34" t="s">
        <v>125</v>
      </c>
    </row>
    <row r="18" customFormat="false" ht="30" hidden="false" customHeight="true" outlineLevel="0" collapsed="false">
      <c r="A18" s="35" t="s">
        <v>126</v>
      </c>
      <c r="B18" s="37"/>
      <c r="C18" s="37"/>
      <c r="D18" s="37"/>
      <c r="E18" s="36"/>
      <c r="F18" s="36"/>
      <c r="G18" s="37"/>
      <c r="H18" s="37"/>
      <c r="I18" s="37"/>
      <c r="J18" s="38"/>
    </row>
    <row r="19" customFormat="false" ht="30" hidden="false" customHeight="true" outlineLevel="0" collapsed="false">
      <c r="A19" s="35" t="s">
        <v>127</v>
      </c>
      <c r="B19" s="37"/>
      <c r="C19" s="37"/>
      <c r="D19" s="37"/>
      <c r="E19" s="37"/>
      <c r="F19" s="36"/>
      <c r="G19" s="37"/>
      <c r="H19" s="37"/>
      <c r="I19" s="37"/>
      <c r="J19" s="38"/>
    </row>
    <row r="20" customFormat="false" ht="30" hidden="false" customHeight="true" outlineLevel="0" collapsed="false">
      <c r="A20" s="35" t="s">
        <v>128</v>
      </c>
      <c r="B20" s="37"/>
      <c r="C20" s="37"/>
      <c r="D20" s="37"/>
      <c r="E20" s="36"/>
      <c r="F20" s="36"/>
      <c r="G20" s="37"/>
      <c r="H20" s="37"/>
      <c r="I20" s="37"/>
      <c r="J20" s="38"/>
    </row>
    <row r="21" customFormat="false" ht="39.75" hidden="false" customHeight="true" outlineLevel="0" collapsed="false">
      <c r="A21" s="31" t="s">
        <v>129</v>
      </c>
      <c r="B21" s="33"/>
      <c r="C21" s="33"/>
      <c r="D21" s="33"/>
      <c r="E21" s="33"/>
      <c r="F21" s="32"/>
      <c r="G21" s="32"/>
      <c r="H21" s="32"/>
      <c r="I21" s="33"/>
      <c r="J21" s="34" t="s">
        <v>130</v>
      </c>
    </row>
    <row r="22" customFormat="false" ht="30" hidden="false" customHeight="true" outlineLevel="0" collapsed="false">
      <c r="A22" s="35" t="s">
        <v>131</v>
      </c>
      <c r="B22" s="37"/>
      <c r="C22" s="37"/>
      <c r="D22" s="37"/>
      <c r="E22" s="37"/>
      <c r="F22" s="36"/>
      <c r="G22" s="36"/>
      <c r="H22" s="37"/>
      <c r="I22" s="37"/>
      <c r="J22" s="38"/>
    </row>
    <row r="23" customFormat="false" ht="30" hidden="false" customHeight="true" outlineLevel="0" collapsed="false">
      <c r="A23" s="35" t="s">
        <v>132</v>
      </c>
      <c r="B23" s="37"/>
      <c r="C23" s="37"/>
      <c r="D23" s="37"/>
      <c r="E23" s="37"/>
      <c r="F23" s="37"/>
      <c r="G23" s="36"/>
      <c r="H23" s="37"/>
      <c r="I23" s="37"/>
      <c r="J23" s="38"/>
    </row>
    <row r="24" customFormat="false" ht="30" hidden="false" customHeight="true" outlineLevel="0" collapsed="false">
      <c r="A24" s="35" t="s">
        <v>133</v>
      </c>
      <c r="B24" s="37"/>
      <c r="C24" s="37"/>
      <c r="D24" s="37"/>
      <c r="E24" s="37"/>
      <c r="F24" s="37"/>
      <c r="G24" s="36"/>
      <c r="H24" s="36"/>
      <c r="I24" s="37"/>
      <c r="J24" s="38"/>
    </row>
    <row r="25" customFormat="false" ht="30" hidden="false" customHeight="true" outlineLevel="0" collapsed="false">
      <c r="A25" s="35" t="s">
        <v>134</v>
      </c>
      <c r="B25" s="37"/>
      <c r="C25" s="37"/>
      <c r="D25" s="37"/>
      <c r="E25" s="37"/>
      <c r="F25" s="37"/>
      <c r="G25" s="37"/>
      <c r="H25" s="36"/>
      <c r="I25" s="37"/>
      <c r="J25" s="38"/>
    </row>
    <row r="26" customFormat="false" ht="39.75" hidden="false" customHeight="true" outlineLevel="0" collapsed="false">
      <c r="A26" s="31" t="s">
        <v>135</v>
      </c>
      <c r="B26" s="33"/>
      <c r="C26" s="33"/>
      <c r="D26" s="33"/>
      <c r="E26" s="33"/>
      <c r="F26" s="33"/>
      <c r="G26" s="32"/>
      <c r="H26" s="32"/>
      <c r="I26" s="32"/>
      <c r="J26" s="34" t="s">
        <v>136</v>
      </c>
    </row>
    <row r="27" customFormat="false" ht="30" hidden="false" customHeight="true" outlineLevel="0" collapsed="false">
      <c r="A27" s="35" t="s">
        <v>137</v>
      </c>
      <c r="B27" s="37"/>
      <c r="C27" s="37"/>
      <c r="D27" s="37"/>
      <c r="E27" s="37"/>
      <c r="F27" s="37"/>
      <c r="G27" s="36"/>
      <c r="H27" s="36"/>
      <c r="I27" s="37"/>
      <c r="J27" s="38"/>
    </row>
    <row r="28" customFormat="false" ht="30" hidden="false" customHeight="true" outlineLevel="0" collapsed="false">
      <c r="A28" s="35" t="s">
        <v>138</v>
      </c>
      <c r="B28" s="37"/>
      <c r="C28" s="37"/>
      <c r="D28" s="37"/>
      <c r="E28" s="37"/>
      <c r="F28" s="37"/>
      <c r="G28" s="37"/>
      <c r="H28" s="36"/>
      <c r="I28" s="37"/>
      <c r="J28" s="38"/>
    </row>
    <row r="29" customFormat="false" ht="30" hidden="false" customHeight="true" outlineLevel="0" collapsed="false">
      <c r="A29" s="35" t="s">
        <v>139</v>
      </c>
      <c r="B29" s="37"/>
      <c r="C29" s="37"/>
      <c r="D29" s="37"/>
      <c r="E29" s="37"/>
      <c r="F29" s="37"/>
      <c r="G29" s="37"/>
      <c r="H29" s="36"/>
      <c r="I29" s="36"/>
      <c r="J29" s="38"/>
    </row>
    <row r="30" customFormat="false" ht="30" hidden="false" customHeight="true" outlineLevel="0" collapsed="false">
      <c r="A30" s="35" t="s">
        <v>140</v>
      </c>
      <c r="B30" s="37"/>
      <c r="C30" s="37"/>
      <c r="D30" s="37"/>
      <c r="E30" s="37"/>
      <c r="F30" s="37"/>
      <c r="G30" s="37"/>
      <c r="H30" s="37"/>
      <c r="I30" s="36"/>
      <c r="J30" s="38"/>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2" min="2" style="1" width="12"/>
    <col collapsed="false" customWidth="true" hidden="false" outlineLevel="0" max="3" min="3" style="1" width="10"/>
    <col collapsed="false" customWidth="true" hidden="false" outlineLevel="0" max="4" min="4" style="1" width="22"/>
    <col collapsed="false" customWidth="true" hidden="false" outlineLevel="0" max="5" min="5" style="1" width="20"/>
    <col collapsed="false" customWidth="true" hidden="false" outlineLevel="0" max="6" min="6" style="1" width="44"/>
  </cols>
  <sheetData>
    <row r="1" customFormat="false" ht="21.75" hidden="false" customHeight="true" outlineLevel="0" collapsed="false">
      <c r="A1" s="2" t="s">
        <v>141</v>
      </c>
      <c r="B1" s="2"/>
      <c r="C1" s="2"/>
      <c r="D1" s="2"/>
      <c r="E1" s="2"/>
      <c r="F1" s="2"/>
    </row>
    <row r="2" customFormat="false" ht="30" hidden="false" customHeight="true" outlineLevel="0" collapsed="false">
      <c r="A2" s="3" t="s">
        <v>142</v>
      </c>
      <c r="B2" s="3"/>
      <c r="C2" s="3"/>
      <c r="D2" s="3"/>
      <c r="E2" s="3"/>
      <c r="F2" s="3"/>
    </row>
    <row r="4" customFormat="false" ht="19.5" hidden="false" customHeight="true" outlineLevel="0" collapsed="false">
      <c r="A4" s="4" t="s">
        <v>143</v>
      </c>
      <c r="B4" s="4" t="s">
        <v>144</v>
      </c>
      <c r="C4" s="4" t="s">
        <v>145</v>
      </c>
      <c r="D4" s="4" t="s">
        <v>146</v>
      </c>
      <c r="E4" s="4" t="s">
        <v>147</v>
      </c>
      <c r="F4" s="4" t="s">
        <v>148</v>
      </c>
    </row>
    <row r="5" customFormat="false" ht="69.75" hidden="false" customHeight="true" outlineLevel="0" collapsed="false">
      <c r="A5" s="17" t="s">
        <v>149</v>
      </c>
      <c r="B5" s="39" t="n">
        <v>0.6</v>
      </c>
      <c r="C5" s="40" t="n">
        <v>8</v>
      </c>
      <c r="D5" s="41" t="n">
        <v>7000000</v>
      </c>
      <c r="E5" s="42" t="n">
        <f aca="false">C5*D5</f>
        <v>56000000</v>
      </c>
      <c r="F5" s="21" t="s">
        <v>150</v>
      </c>
    </row>
    <row r="6" customFormat="false" ht="69.75" hidden="false" customHeight="true" outlineLevel="0" collapsed="false">
      <c r="A6" s="9" t="s">
        <v>151</v>
      </c>
      <c r="B6" s="43" t="n">
        <v>1</v>
      </c>
      <c r="C6" s="44" t="n">
        <v>8</v>
      </c>
      <c r="D6" s="12" t="n">
        <v>7500000</v>
      </c>
      <c r="E6" s="45" t="n">
        <f aca="false">C6*D6</f>
        <v>60000000</v>
      </c>
      <c r="F6" s="11" t="s">
        <v>152</v>
      </c>
    </row>
    <row r="7" customFormat="false" ht="69.75" hidden="false" customHeight="true" outlineLevel="0" collapsed="false">
      <c r="A7" s="5" t="s">
        <v>153</v>
      </c>
      <c r="B7" s="46" t="n">
        <v>1</v>
      </c>
      <c r="C7" s="47" t="n">
        <v>8</v>
      </c>
      <c r="D7" s="8" t="n">
        <v>7500000</v>
      </c>
      <c r="E7" s="48" t="n">
        <f aca="false">C7*D7</f>
        <v>60000000</v>
      </c>
      <c r="F7" s="7" t="s">
        <v>154</v>
      </c>
    </row>
    <row r="8" customFormat="false" ht="69.75" hidden="false" customHeight="true" outlineLevel="0" collapsed="false">
      <c r="A8" s="9" t="s">
        <v>155</v>
      </c>
      <c r="B8" s="43" t="n">
        <v>0.7</v>
      </c>
      <c r="C8" s="44" t="n">
        <v>8</v>
      </c>
      <c r="D8" s="12" t="n">
        <v>3500000</v>
      </c>
      <c r="E8" s="45" t="n">
        <f aca="false">C8*D8</f>
        <v>28000000</v>
      </c>
      <c r="F8" s="11" t="s">
        <v>156</v>
      </c>
    </row>
    <row r="9" customFormat="false" ht="69.75" hidden="false" customHeight="true" outlineLevel="0" collapsed="false">
      <c r="A9" s="5" t="s">
        <v>157</v>
      </c>
      <c r="B9" s="46" t="n">
        <v>0.5</v>
      </c>
      <c r="C9" s="47" t="n">
        <v>7</v>
      </c>
      <c r="D9" s="8" t="n">
        <v>4000000</v>
      </c>
      <c r="E9" s="48" t="n">
        <f aca="false">C9*D9</f>
        <v>28000000</v>
      </c>
      <c r="F9" s="7" t="s">
        <v>158</v>
      </c>
    </row>
    <row r="10" customFormat="false" ht="21.75" hidden="false" customHeight="true" outlineLevel="0" collapsed="false">
      <c r="A10" s="15" t="s">
        <v>159</v>
      </c>
      <c r="B10" s="15"/>
      <c r="C10" s="15"/>
      <c r="D10" s="15"/>
      <c r="E10" s="15"/>
      <c r="F10" s="15"/>
    </row>
    <row r="11" customFormat="false" ht="21.75" hidden="false" customHeight="true" outlineLevel="0" collapsed="false">
      <c r="A11" s="49" t="s">
        <v>160</v>
      </c>
      <c r="B11" s="49"/>
      <c r="C11" s="49"/>
      <c r="D11" s="49"/>
      <c r="E11" s="42" t="n">
        <f aca="false">SUM(E5:E9)</f>
        <v>232000000</v>
      </c>
      <c r="F11" s="50"/>
    </row>
    <row r="12" customFormat="false" ht="21.75" hidden="false" customHeight="true" outlineLevel="0" collapsed="false">
      <c r="A12" s="51" t="s">
        <v>161</v>
      </c>
      <c r="B12" s="51"/>
      <c r="C12" s="51"/>
      <c r="D12" s="51"/>
      <c r="E12" s="12" t="n">
        <v>4000000</v>
      </c>
      <c r="F12" s="52" t="s">
        <v>162</v>
      </c>
    </row>
    <row r="13" customFormat="false" ht="30" hidden="false" customHeight="true" outlineLevel="0" collapsed="false">
      <c r="A13" s="50" t="s">
        <v>163</v>
      </c>
      <c r="B13" s="50"/>
      <c r="C13" s="50"/>
      <c r="D13" s="50"/>
      <c r="E13" s="50"/>
      <c r="F13" s="50"/>
    </row>
    <row r="14" customFormat="false" ht="21.75" hidden="false" customHeight="true" outlineLevel="0" collapsed="false">
      <c r="A14" s="51" t="s">
        <v>164</v>
      </c>
      <c r="B14" s="51"/>
      <c r="C14" s="51"/>
      <c r="D14" s="51"/>
      <c r="E14" s="12" t="n">
        <v>3000000</v>
      </c>
      <c r="F14" s="52" t="s">
        <v>165</v>
      </c>
    </row>
    <row r="15" customFormat="false" ht="21.75" hidden="false" customHeight="true" outlineLevel="0" collapsed="false">
      <c r="A15" s="53" t="s">
        <v>166</v>
      </c>
      <c r="B15" s="53"/>
      <c r="C15" s="53"/>
      <c r="D15" s="53"/>
      <c r="E15" s="54" t="n">
        <f aca="false">ROUND((E11+E12+E14)*0.1,0)</f>
        <v>23900000</v>
      </c>
      <c r="F15" s="55" t="s">
        <v>167</v>
      </c>
    </row>
    <row r="16" customFormat="false" ht="21.75" hidden="false" customHeight="true" outlineLevel="0" collapsed="false">
      <c r="A16" s="56" t="s">
        <v>168</v>
      </c>
      <c r="B16" s="56"/>
      <c r="C16" s="56"/>
      <c r="D16" s="56"/>
      <c r="E16" s="57" t="n">
        <f aca="false">E11+E12+E14+E15</f>
        <v>262900000</v>
      </c>
      <c r="F16" s="58" t="s">
        <v>169</v>
      </c>
    </row>
  </sheetData>
  <mergeCells count="9">
    <mergeCell ref="A1:F1"/>
    <mergeCell ref="A2:F2"/>
    <mergeCell ref="A10:F10"/>
    <mergeCell ref="A11:D11"/>
    <mergeCell ref="A12:D12"/>
    <mergeCell ref="A13:F13"/>
    <mergeCell ref="A14:D14"/>
    <mergeCell ref="A15:D15"/>
    <mergeCell ref="A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18"/>
    <col collapsed="false" customWidth="true" hidden="false" outlineLevel="0" max="3" min="3" style="1" width="12"/>
    <col collapsed="false" customWidth="true" hidden="false" outlineLevel="0" max="4" min="4" style="1" width="50"/>
    <col collapsed="false" customWidth="true" hidden="false" outlineLevel="0" max="5" min="5" style="1" width="22"/>
    <col collapsed="false" customWidth="true" hidden="false" outlineLevel="0" max="6" min="6" style="1" width="32"/>
  </cols>
  <sheetData>
    <row r="1" customFormat="false" ht="21.75" hidden="false" customHeight="true" outlineLevel="0" collapsed="false">
      <c r="A1" s="2" t="s">
        <v>170</v>
      </c>
      <c r="B1" s="2"/>
      <c r="C1" s="2"/>
      <c r="D1" s="2"/>
      <c r="E1" s="2"/>
      <c r="F1" s="2"/>
    </row>
    <row r="2" customFormat="false" ht="30" hidden="false" customHeight="true" outlineLevel="0" collapsed="false">
      <c r="A2" s="3" t="s">
        <v>171</v>
      </c>
      <c r="B2" s="3"/>
      <c r="C2" s="3"/>
      <c r="D2" s="3"/>
      <c r="E2" s="3"/>
      <c r="F2" s="3"/>
    </row>
    <row r="4" customFormat="false" ht="19.5" hidden="false" customHeight="true" outlineLevel="0" collapsed="false">
      <c r="A4" s="4" t="s">
        <v>2</v>
      </c>
      <c r="B4" s="4" t="s">
        <v>172</v>
      </c>
      <c r="C4" s="4" t="s">
        <v>3</v>
      </c>
      <c r="D4" s="4" t="s">
        <v>173</v>
      </c>
      <c r="E4" s="4" t="s">
        <v>174</v>
      </c>
      <c r="F4" s="4" t="s">
        <v>175</v>
      </c>
    </row>
    <row r="5" customFormat="false" ht="79.5" hidden="false" customHeight="true" outlineLevel="0" collapsed="false">
      <c r="A5" s="5" t="s">
        <v>8</v>
      </c>
      <c r="B5" s="8" t="n">
        <v>280000000</v>
      </c>
      <c r="C5" s="6" t="s">
        <v>9</v>
      </c>
      <c r="D5" s="7" t="s">
        <v>176</v>
      </c>
      <c r="E5" s="59" t="s">
        <v>177</v>
      </c>
      <c r="F5" s="7" t="s">
        <v>178</v>
      </c>
    </row>
    <row r="6" customFormat="false" ht="79.5" hidden="false" customHeight="true" outlineLevel="0" collapsed="false">
      <c r="A6" s="9" t="s">
        <v>13</v>
      </c>
      <c r="B6" s="60" t="n">
        <v>380000000</v>
      </c>
      <c r="C6" s="10" t="s">
        <v>9</v>
      </c>
      <c r="D6" s="11" t="s">
        <v>179</v>
      </c>
      <c r="E6" s="38" t="s">
        <v>180</v>
      </c>
      <c r="F6" s="11" t="s">
        <v>181</v>
      </c>
    </row>
    <row r="7" customFormat="false" ht="79.5" hidden="false" customHeight="true" outlineLevel="0" collapsed="false">
      <c r="A7" s="5" t="s">
        <v>17</v>
      </c>
      <c r="B7" s="8" t="n">
        <v>520000000</v>
      </c>
      <c r="C7" s="6" t="s">
        <v>9</v>
      </c>
      <c r="D7" s="7" t="s">
        <v>182</v>
      </c>
      <c r="E7" s="61" t="s">
        <v>183</v>
      </c>
      <c r="F7" s="7" t="s">
        <v>184</v>
      </c>
    </row>
    <row r="9" customFormat="false" ht="30" hidden="false" customHeight="true" outlineLevel="0" collapsed="false">
      <c r="A9" s="14" t="s">
        <v>185</v>
      </c>
      <c r="B9" s="14"/>
      <c r="C9" s="14"/>
      <c r="D9" s="14"/>
      <c r="E9" s="14"/>
      <c r="F9" s="14"/>
    </row>
  </sheetData>
  <mergeCells count="3">
    <mergeCell ref="A1:F1"/>
    <mergeCell ref="A2:F2"/>
    <mergeCell ref="A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72"/>
  </cols>
  <sheetData>
    <row r="1" customFormat="false" ht="21.75" hidden="false" customHeight="true" outlineLevel="0" collapsed="false">
      <c r="A1" s="2" t="s">
        <v>186</v>
      </c>
      <c r="B1" s="2"/>
    </row>
    <row r="2" customFormat="false" ht="30" hidden="false" customHeight="true" outlineLevel="0" collapsed="false">
      <c r="A2" s="3" t="s">
        <v>187</v>
      </c>
      <c r="B2" s="3"/>
    </row>
    <row r="4" customFormat="false" ht="18" hidden="false" customHeight="true" outlineLevel="0" collapsed="false">
      <c r="A4" s="62" t="s">
        <v>188</v>
      </c>
      <c r="B4" s="62" t="s">
        <v>189</v>
      </c>
    </row>
    <row r="5" customFormat="false" ht="60" hidden="false" customHeight="true" outlineLevel="0" collapsed="false">
      <c r="A5" s="17" t="s">
        <v>190</v>
      </c>
      <c r="B5" s="18" t="s">
        <v>191</v>
      </c>
    </row>
    <row r="6" customFormat="false" ht="60" hidden="false" customHeight="true" outlineLevel="0" collapsed="false">
      <c r="A6" s="9" t="s">
        <v>4</v>
      </c>
      <c r="B6" s="19" t="s">
        <v>192</v>
      </c>
    </row>
    <row r="7" customFormat="false" ht="60" hidden="false" customHeight="true" outlineLevel="0" collapsed="false">
      <c r="A7" s="17" t="s">
        <v>193</v>
      </c>
      <c r="B7" s="18" t="s">
        <v>194</v>
      </c>
    </row>
    <row r="8" customFormat="false" ht="60" hidden="false" customHeight="true" outlineLevel="0" collapsed="false">
      <c r="A8" s="9" t="s">
        <v>195</v>
      </c>
      <c r="B8" s="19" t="s">
        <v>196</v>
      </c>
    </row>
    <row r="9" customFormat="false" ht="60" hidden="false" customHeight="true" outlineLevel="0" collapsed="false">
      <c r="A9" s="17" t="s">
        <v>197</v>
      </c>
      <c r="B9" s="18" t="s">
        <v>198</v>
      </c>
    </row>
    <row r="10" customFormat="false" ht="60" hidden="false" customHeight="true" outlineLevel="0" collapsed="false">
      <c r="A10" s="9" t="s">
        <v>199</v>
      </c>
      <c r="B10" s="19" t="s">
        <v>200</v>
      </c>
    </row>
    <row r="11" customFormat="false" ht="60" hidden="false" customHeight="true" outlineLevel="0" collapsed="false">
      <c r="A11" s="17" t="s">
        <v>201</v>
      </c>
      <c r="B11" s="18" t="s">
        <v>202</v>
      </c>
    </row>
    <row r="12" customFormat="false" ht="60" hidden="false" customHeight="true" outlineLevel="0" collapsed="false">
      <c r="A12" s="9" t="s">
        <v>203</v>
      </c>
      <c r="B12" s="19" t="s">
        <v>204</v>
      </c>
    </row>
    <row r="13" customFormat="false" ht="60" hidden="false" customHeight="true" outlineLevel="0" collapsed="false">
      <c r="A13" s="17" t="s">
        <v>205</v>
      </c>
      <c r="B13" s="18" t="s">
        <v>206</v>
      </c>
    </row>
    <row r="14" customFormat="false" ht="60" hidden="false" customHeight="true" outlineLevel="0" collapsed="false">
      <c r="A14" s="9" t="s">
        <v>207</v>
      </c>
      <c r="B14" s="19" t="s">
        <v>208</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2026-05-12T16:48:54Z</dcterms:created>
  <dc:creator>openpyxl</dc:creator>
  <dc:description/>
  <dc:language>en-US</dc:language>
  <cp:lastModifiedBy/>
  <dcterms:modified xsi:type="dcterms:W3CDTF">2026-05-12T16:50:46Z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